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l\Downloads\"/>
    </mc:Choice>
  </mc:AlternateContent>
  <bookViews>
    <workbookView xWindow="0" yWindow="0" windowWidth="20490" windowHeight="7755" activeTab="2"/>
  </bookViews>
  <sheets>
    <sheet name="Consulta MONOFOCALES" sheetId="1" r:id="rId1"/>
    <sheet name="RESUMEN" sheetId="4" r:id="rId2"/>
    <sheet name="Monofocales" sheetId="3" r:id="rId3"/>
    <sheet name="Tratamientos" sheetId="2" r:id="rId4"/>
  </sheets>
  <externalReferences>
    <externalReference r:id="rId5"/>
  </externalReferences>
  <definedNames>
    <definedName name="_xlnm._FilterDatabase" localSheetId="0" hidden="1">'Consulta MONOFOCALES'!$B$1:$I$4</definedName>
    <definedName name="AR">Tratamientos!#REF!</definedName>
    <definedName name="BLANCO">Tratamientos!#REF!</definedName>
    <definedName name="CRIS">Monofocales!$1:$1</definedName>
    <definedName name="CRISTALES">Tratamientos!#REF!</definedName>
    <definedName name="CRISTALESss">Tratamientos!#REF!</definedName>
    <definedName name="graduacion">Monofocales!$A:$A</definedName>
    <definedName name="REF" localSheetId="2">'[1]Listado articulos'!$A:$A</definedName>
    <definedName name="REF">Tratamientos!#REF!</definedName>
    <definedName name="t" localSheetId="3">Tratamientos!$A$1:$A$27</definedName>
    <definedName name="TRATAMIENT" localSheetId="3">Tratamientos!$A:$A</definedName>
    <definedName name="TRATAMIENTO" localSheetId="3">Tratamientos!$A:$A</definedName>
    <definedName name="TTO" localSheetId="2">'[1]Listado articulos'!$E:$E</definedName>
    <definedName name="TTO">Tratamientos!$A:$A</definedName>
  </definedNames>
  <calcPr calcId="152511"/>
</workbook>
</file>

<file path=xl/calcChain.xml><?xml version="1.0" encoding="utf-8"?>
<calcChain xmlns="http://schemas.openxmlformats.org/spreadsheetml/2006/main">
  <c r="D4" i="1" l="1"/>
  <c r="I9" i="1" l="1"/>
  <c r="B10" i="4" l="1"/>
  <c r="C1" i="4"/>
  <c r="F4" i="1"/>
  <c r="G4" i="1" s="1"/>
  <c r="I4" i="1" l="1"/>
</calcChain>
</file>

<file path=xl/sharedStrings.xml><?xml version="1.0" encoding="utf-8"?>
<sst xmlns="http://schemas.openxmlformats.org/spreadsheetml/2006/main" count="76" uniqueCount="68">
  <si>
    <t>GRADUACION</t>
  </si>
  <si>
    <t>PRECIO</t>
  </si>
  <si>
    <t>TRATAMIENTO</t>
  </si>
  <si>
    <t>TOTAL</t>
  </si>
  <si>
    <t>UVX</t>
  </si>
  <si>
    <t>SOL</t>
  </si>
  <si>
    <t>SIN TRATAMIENTO</t>
  </si>
  <si>
    <t>SUB-TOTAL</t>
  </si>
  <si>
    <t>DESCUENTO</t>
  </si>
  <si>
    <t>ESF. AL 2.00</t>
  </si>
  <si>
    <t>ESF.  AL 4.00</t>
  </si>
  <si>
    <t>ESF. AL 6.00</t>
  </si>
  <si>
    <t>ESF. AL 8.00</t>
  </si>
  <si>
    <t>ESF. AL 10.00</t>
  </si>
  <si>
    <t>ESF. AL 12.00</t>
  </si>
  <si>
    <t>ESF. AL 14.00</t>
  </si>
  <si>
    <t>ESF. AL 16.00</t>
  </si>
  <si>
    <t>ESF. AL 18.00</t>
  </si>
  <si>
    <t>ESF. AL 20.00</t>
  </si>
  <si>
    <t xml:space="preserve">2.00 AL 2.00 </t>
  </si>
  <si>
    <t>4.00 AL 2.00</t>
  </si>
  <si>
    <t>6.00 AL 2.00</t>
  </si>
  <si>
    <t xml:space="preserve">8.00 AL 2.00 </t>
  </si>
  <si>
    <t>10.00 AL 2.00</t>
  </si>
  <si>
    <t>12.00 AL 2.00</t>
  </si>
  <si>
    <t>14.00 AL 2.00</t>
  </si>
  <si>
    <t>16.00 AL 2.00</t>
  </si>
  <si>
    <t>18.00 AL 2.00</t>
  </si>
  <si>
    <t>20.00 AL 2.00</t>
  </si>
  <si>
    <t>2.00 AL 4.00</t>
  </si>
  <si>
    <t>4.00 AL 4.00</t>
  </si>
  <si>
    <t>6.00 AL 4.00</t>
  </si>
  <si>
    <t>8.00 AL 4.00</t>
  </si>
  <si>
    <t>10.00 AL 4.00</t>
  </si>
  <si>
    <t>A.R.</t>
  </si>
  <si>
    <t xml:space="preserve"> </t>
  </si>
  <si>
    <t>BLANCO</t>
  </si>
  <si>
    <t>POLY</t>
  </si>
  <si>
    <t>POLY A.R.</t>
  </si>
  <si>
    <t>FOTO</t>
  </si>
  <si>
    <t>SIMPLE</t>
  </si>
  <si>
    <t>FLEX</t>
  </si>
  <si>
    <t>TORNILLO PAR</t>
  </si>
  <si>
    <t>PLAQUETA PAR</t>
  </si>
  <si>
    <t>MONOFOCALES (VISION SIMPLE)</t>
  </si>
  <si>
    <t xml:space="preserve">REPARACION Gs. </t>
  </si>
  <si>
    <t>SI EL PEDIDO PRESENTA GRADUACIONES DIFERENTES EN CADA OJO, QUITAR LA MITAD DEL  PRECIO DE CADA LADO Y SUMAR LOS DOS OJOS PARA EL TOTAL</t>
  </si>
  <si>
    <t>NO OLVIDAR TOMAR LA DISTANCIA INTERPUPILAR A TODOS LOS CLIENTES</t>
  </si>
  <si>
    <t>TOMAR SIEMPRE LA ALTURA PARA BIFOCALES Y MULTIFOCALES</t>
  </si>
  <si>
    <t xml:space="preserve">DIP: </t>
  </si>
  <si>
    <t>Alt.:</t>
  </si>
  <si>
    <t>Esf.</t>
  </si>
  <si>
    <t>Cil.</t>
  </si>
  <si>
    <t>Eje</t>
  </si>
  <si>
    <t>CRISTAL:</t>
  </si>
  <si>
    <t>Monofocal</t>
  </si>
  <si>
    <t>Tratamiento:</t>
  </si>
  <si>
    <t>VL:</t>
  </si>
  <si>
    <t xml:space="preserve">O.I:  </t>
  </si>
  <si>
    <t xml:space="preserve">O.D.: </t>
  </si>
  <si>
    <t xml:space="preserve">O.I.: </t>
  </si>
  <si>
    <t>VC:</t>
  </si>
  <si>
    <t>TOTAL / PAR</t>
  </si>
  <si>
    <t>O.I:</t>
  </si>
  <si>
    <t>O.D:</t>
  </si>
  <si>
    <t>Resumen</t>
  </si>
  <si>
    <t>Sub-total</t>
  </si>
  <si>
    <t>CRISTALES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</si>
</sst>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164" formatCode="_-* #,##0.00\ _€_-;\-* #,##0.00\ _€_-;_-* &quot;-&quot;??\ _€_-;_-@_-"/>
    <numFmt numFmtId="165" formatCode="&quot;₲&quot;\ #,##0"/>
    <numFmt numFmtId="166" formatCode="###\º"/>
    <numFmt numFmtId="167" formatCode="_-* #,##0\ _€_-;\-* #,##0\ _€_-;_-* &quot;-&quot;??\ _€_-;_-@_-"/>
  </numFmts>
  <fonts count="16">
    <font>
      <sz val="11"/>
      <color theme="1"/>
      <name val="Calibri"/>
      <family val="2"/>
      <scheme val="minor"/>
    </font>
    <font>
      <b/>
      <sz val="9"/>
      <name val="HandelGotDLig"/>
      <family val="2"/>
    </font>
    <font>
      <b/>
      <sz val="8"/>
      <name val="HandelGotDLig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8"/>
      <color theme="3"/>
      <name val="Arial Unicode MS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C6EF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41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1" fillId="5" borderId="0" applyNumberFormat="0" applyBorder="0" applyAlignment="0" applyProtection="0"/>
    <xf numFmtId="164" fontId="6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2" borderId="0" xfId="0" applyFont="1" applyFill="1"/>
    <xf numFmtId="3" fontId="0" fillId="0" borderId="0" xfId="0" applyNumberFormat="1" applyAlignment="1">
      <alignment horizontal="center" vertical="center" wrapText="1"/>
    </xf>
    <xf numFmtId="0" fontId="12" fillId="5" borderId="0" xfId="3" applyFont="1" applyAlignment="1">
      <alignment horizontal="center" vertical="center"/>
    </xf>
    <xf numFmtId="0" fontId="9" fillId="7" borderId="11" xfId="0" applyFont="1" applyFill="1" applyBorder="1" applyAlignment="1">
      <alignment horizontal="center" vertical="center"/>
    </xf>
    <xf numFmtId="3" fontId="0" fillId="0" borderId="5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9" fillId="7" borderId="12" xfId="0" applyFont="1" applyFill="1" applyBorder="1" applyAlignment="1">
      <alignment horizontal="center" vertical="center"/>
    </xf>
    <xf numFmtId="3" fontId="0" fillId="0" borderId="13" xfId="0" applyNumberFormat="1" applyBorder="1" applyAlignment="1">
      <alignment horizontal="center"/>
    </xf>
    <xf numFmtId="0" fontId="9" fillId="7" borderId="14" xfId="0" applyFont="1" applyFill="1" applyBorder="1" applyAlignment="1">
      <alignment horizontal="center" vertical="center"/>
    </xf>
    <xf numFmtId="3" fontId="2" fillId="3" borderId="14" xfId="0" applyNumberFormat="1" applyFont="1" applyFill="1" applyBorder="1" applyAlignment="1">
      <alignment horizontal="center"/>
    </xf>
    <xf numFmtId="3" fontId="2" fillId="3" borderId="18" xfId="0" applyNumberFormat="1" applyFont="1" applyFill="1" applyBorder="1" applyAlignment="1">
      <alignment horizontal="center"/>
    </xf>
    <xf numFmtId="9" fontId="7" fillId="0" borderId="25" xfId="2" applyFont="1" applyBorder="1" applyAlignment="1" applyProtection="1">
      <alignment horizontal="center" vertical="center"/>
      <protection locked="0"/>
    </xf>
    <xf numFmtId="0" fontId="13" fillId="0" borderId="0" xfId="0" applyFont="1"/>
    <xf numFmtId="49" fontId="13" fillId="0" borderId="0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49" fontId="13" fillId="0" borderId="27" xfId="0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166" fontId="13" fillId="0" borderId="6" xfId="0" applyNumberFormat="1" applyFont="1" applyBorder="1" applyAlignment="1">
      <alignment horizontal="center" vertical="center"/>
    </xf>
    <xf numFmtId="0" fontId="14" fillId="0" borderId="15" xfId="0" applyFont="1" applyBorder="1"/>
    <xf numFmtId="0" fontId="14" fillId="0" borderId="28" xfId="0" applyFont="1" applyBorder="1"/>
    <xf numFmtId="0" fontId="14" fillId="0" borderId="26" xfId="0" applyFont="1" applyBorder="1"/>
    <xf numFmtId="0" fontId="13" fillId="0" borderId="8" xfId="0" applyFont="1" applyBorder="1" applyAlignment="1"/>
    <xf numFmtId="0" fontId="13" fillId="0" borderId="7" xfId="0" applyFont="1" applyBorder="1"/>
    <xf numFmtId="0" fontId="13" fillId="0" borderId="9" xfId="0" applyNumberFormat="1" applyFont="1" applyBorder="1"/>
    <xf numFmtId="49" fontId="13" fillId="0" borderId="8" xfId="0" applyNumberFormat="1" applyFont="1" applyBorder="1"/>
    <xf numFmtId="0" fontId="13" fillId="0" borderId="9" xfId="0" applyFont="1" applyBorder="1" applyAlignment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5" fillId="0" borderId="0" xfId="0" applyFont="1"/>
    <xf numFmtId="165" fontId="13" fillId="0" borderId="8" xfId="1" applyNumberFormat="1" applyFont="1" applyBorder="1" applyAlignment="1">
      <alignment horizontal="center"/>
    </xf>
    <xf numFmtId="0" fontId="9" fillId="0" borderId="28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26" xfId="0" applyFont="1" applyBorder="1" applyAlignment="1">
      <alignment horizontal="right"/>
    </xf>
    <xf numFmtId="0" fontId="9" fillId="0" borderId="15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3" fontId="7" fillId="8" borderId="21" xfId="0" applyNumberFormat="1" applyFont="1" applyFill="1" applyBorder="1" applyAlignment="1">
      <alignment horizontal="center" vertical="center"/>
    </xf>
    <xf numFmtId="3" fontId="7" fillId="8" borderId="11" xfId="0" applyNumberFormat="1" applyFont="1" applyFill="1" applyBorder="1" applyAlignment="1">
      <alignment horizontal="center" vertical="center"/>
    </xf>
    <xf numFmtId="165" fontId="8" fillId="8" borderId="26" xfId="1" applyNumberFormat="1" applyFont="1" applyFill="1" applyBorder="1" applyAlignment="1">
      <alignment horizontal="center" vertical="center"/>
    </xf>
    <xf numFmtId="0" fontId="7" fillId="0" borderId="11" xfId="0" applyFont="1" applyBorder="1" applyAlignment="1" applyProtection="1">
      <alignment horizontal="center" vertical="center" wrapText="1"/>
      <protection locked="0"/>
    </xf>
    <xf numFmtId="3" fontId="7" fillId="0" borderId="20" xfId="0" applyNumberFormat="1" applyFont="1" applyBorder="1" applyAlignment="1" applyProtection="1">
      <alignment horizontal="center" vertical="center"/>
      <protection locked="0"/>
    </xf>
    <xf numFmtId="0" fontId="8" fillId="0" borderId="24" xfId="0" applyFont="1" applyBorder="1" applyAlignment="1" applyProtection="1">
      <alignment horizontal="center" vertical="center"/>
      <protection locked="0"/>
    </xf>
    <xf numFmtId="167" fontId="0" fillId="0" borderId="5" xfId="4" applyNumberFormat="1" applyFont="1" applyBorder="1" applyAlignment="1" applyProtection="1">
      <alignment vertical="center"/>
      <protection locked="0"/>
    </xf>
    <xf numFmtId="167" fontId="0" fillId="0" borderId="6" xfId="4" applyNumberFormat="1" applyFont="1" applyBorder="1" applyProtection="1">
      <protection locked="0"/>
    </xf>
    <xf numFmtId="0" fontId="5" fillId="4" borderId="7" xfId="0" applyFont="1" applyFill="1" applyBorder="1" applyAlignment="1">
      <alignment horizontal="center" vertical="center" wrapText="1"/>
    </xf>
    <xf numFmtId="0" fontId="0" fillId="0" borderId="9" xfId="0" applyBorder="1"/>
    <xf numFmtId="0" fontId="0" fillId="0" borderId="8" xfId="0" applyBorder="1"/>
    <xf numFmtId="2" fontId="1" fillId="3" borderId="17" xfId="0" applyNumberFormat="1" applyFont="1" applyFill="1" applyBorder="1" applyAlignment="1">
      <alignment horizontal="center" vertical="center" wrapText="1"/>
    </xf>
    <xf numFmtId="2" fontId="4" fillId="3" borderId="19" xfId="0" applyNumberFormat="1" applyFont="1" applyFill="1" applyBorder="1" applyAlignment="1">
      <alignment horizontal="center" vertical="center" wrapText="1"/>
    </xf>
    <xf numFmtId="3" fontId="2" fillId="3" borderId="17" xfId="0" applyNumberFormat="1" applyFont="1" applyFill="1" applyBorder="1" applyAlignment="1">
      <alignment horizontal="center" vertical="center"/>
    </xf>
    <xf numFmtId="3" fontId="2" fillId="3" borderId="19" xfId="0" applyNumberFormat="1" applyFont="1" applyFill="1" applyBorder="1" applyAlignment="1">
      <alignment horizontal="center" vertical="center"/>
    </xf>
    <xf numFmtId="3" fontId="2" fillId="3" borderId="14" xfId="0" applyNumberFormat="1" applyFont="1" applyFill="1" applyBorder="1" applyAlignment="1">
      <alignment horizontal="center" vertical="center"/>
    </xf>
    <xf numFmtId="3" fontId="2" fillId="3" borderId="18" xfId="0" applyNumberFormat="1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left" vertical="center" wrapText="1"/>
    </xf>
    <xf numFmtId="0" fontId="10" fillId="7" borderId="4" xfId="0" applyFont="1" applyFill="1" applyBorder="1" applyAlignment="1">
      <alignment horizontal="left" vertical="center" wrapText="1"/>
    </xf>
    <xf numFmtId="0" fontId="10" fillId="7" borderId="10" xfId="0" applyFont="1" applyFill="1" applyBorder="1" applyAlignment="1">
      <alignment horizontal="left" vertical="center" wrapText="1"/>
    </xf>
    <xf numFmtId="0" fontId="9" fillId="6" borderId="7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horizontal="center" vertical="center" wrapText="1"/>
    </xf>
  </cellXfs>
  <cellStyles count="5">
    <cellStyle name="Buena" xfId="3" builtinId="26"/>
    <cellStyle name="Millares" xfId="4" builtinId="3"/>
    <cellStyle name="Millares [0]" xfId="1" builtinId="6"/>
    <cellStyle name="Normal" xfId="0" builtinId="0"/>
    <cellStyle name="Porcentaje" xfId="2" builtinId="5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14653</xdr:colOff>
      <xdr:row>0</xdr:row>
      <xdr:rowOff>14653</xdr:rowOff>
    </xdr:from>
    <xdr:to>
      <xdr:col>1</xdr:col>
      <xdr:colOff>898650</xdr:colOff>
      <xdr:row>0</xdr:row>
      <xdr:rowOff>679175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961" y="14653"/>
          <a:ext cx="883997" cy="664522"/>
        </a:xfrm>
        <a:prstGeom prst="rect">
          <a:avLst/>
        </a:prstGeom>
      </xdr:spPr>
    </xdr:pic>
    <xdr:clientData/>
  </xdr:twoCellAnchor>
  <xdr:twoCellAnchor editAs="oneCell">
    <xdr:from>
      <xdr:col>8</xdr:col>
      <xdr:colOff>681403</xdr:colOff>
      <xdr:row>0</xdr:row>
      <xdr:rowOff>14652</xdr:rowOff>
    </xdr:from>
    <xdr:to>
      <xdr:col>8</xdr:col>
      <xdr:colOff>1567960</xdr:colOff>
      <xdr:row>0</xdr:row>
      <xdr:rowOff>679570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89980" y="14652"/>
          <a:ext cx="886557" cy="6649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590550</xdr:colOff>
          <xdr:row>9</xdr:row>
          <xdr:rowOff>190500</xdr:rowOff>
        </xdr:from>
        <xdr:to>
          <xdr:col>9</xdr:col>
          <xdr:colOff>0</xdr:colOff>
          <xdr:row>12</xdr:row>
          <xdr:rowOff>123825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161925</xdr:colOff>
          <xdr:row>2</xdr:row>
          <xdr:rowOff>161925</xdr:rowOff>
        </xdr:from>
        <xdr:to>
          <xdr:col>9</xdr:col>
          <xdr:colOff>590550</xdr:colOff>
          <xdr:row>3</xdr:row>
          <xdr:rowOff>323850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161925</xdr:colOff>
          <xdr:row>3</xdr:row>
          <xdr:rowOff>371475</xdr:rowOff>
        </xdr:from>
        <xdr:to>
          <xdr:col>9</xdr:col>
          <xdr:colOff>590550</xdr:colOff>
          <xdr:row>4</xdr:row>
          <xdr:rowOff>47625</xdr:rowOff>
        </xdr:to>
        <xdr:sp macro="" textlink="">
          <xdr:nvSpPr>
            <xdr:cNvPr id="1037" name="CommandButton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762000</xdr:colOff>
          <xdr:row>12</xdr:row>
          <xdr:rowOff>28575</xdr:rowOff>
        </xdr:from>
        <xdr:to>
          <xdr:col>2</xdr:col>
          <xdr:colOff>781050</xdr:colOff>
          <xdr:row>14</xdr:row>
          <xdr:rowOff>171450</xdr:rowOff>
        </xdr:to>
        <xdr:sp macro="" textlink="">
          <xdr:nvSpPr>
            <xdr:cNvPr id="2057" name="CommandButton1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847725</xdr:colOff>
          <xdr:row>12</xdr:row>
          <xdr:rowOff>28575</xdr:rowOff>
        </xdr:from>
        <xdr:to>
          <xdr:col>3</xdr:col>
          <xdr:colOff>904875</xdr:colOff>
          <xdr:row>14</xdr:row>
          <xdr:rowOff>180975</xdr:rowOff>
        </xdr:to>
        <xdr:sp macro="" textlink="">
          <xdr:nvSpPr>
            <xdr:cNvPr id="2058" name="CommandButton2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ille/AppData/Roaming/Microsoft/Excel/Plantilla-de-Excel-para-ventas%20ASUNC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s-salidas"/>
      <sheetName val="Listado articulos"/>
      <sheetName val="Hoja1"/>
    </sheetNames>
    <sheetDataSet>
      <sheetData sheetId="0"/>
      <sheetData sheetId="1">
        <row r="1">
          <cell r="A1" t="str">
            <v>Indique referencia del código</v>
          </cell>
          <cell r="E1" t="str">
            <v>TRATAMIENTO</v>
          </cell>
        </row>
        <row r="2">
          <cell r="A2" t="str">
            <v>VS (+/- 0,25)</v>
          </cell>
          <cell r="E2" t="str">
            <v>SIN TRATAMIENTO</v>
          </cell>
        </row>
        <row r="3">
          <cell r="A3" t="str">
            <v>VS (+/- 0,50)</v>
          </cell>
          <cell r="E3" t="str">
            <v>UVX</v>
          </cell>
        </row>
        <row r="4">
          <cell r="A4" t="str">
            <v>VS (+/- 0,75)</v>
          </cell>
          <cell r="E4" t="str">
            <v>SOL</v>
          </cell>
        </row>
        <row r="5">
          <cell r="A5" t="str">
            <v>VS (+/- 1,00)</v>
          </cell>
        </row>
        <row r="6">
          <cell r="A6" t="str">
            <v>VS (+/- 1,25)</v>
          </cell>
        </row>
        <row r="7">
          <cell r="A7" t="str">
            <v>VS (+/- 1,50)</v>
          </cell>
        </row>
        <row r="8">
          <cell r="A8" t="str">
            <v>VS (+/- 1,75)</v>
          </cell>
        </row>
        <row r="9">
          <cell r="A9" t="str">
            <v>VS (+/- 2,00)</v>
          </cell>
        </row>
        <row r="10">
          <cell r="A10" t="str">
            <v>VS (+/- 2,25)</v>
          </cell>
        </row>
        <row r="11">
          <cell r="A11" t="str">
            <v>VS (+/- 2,50)</v>
          </cell>
        </row>
        <row r="12">
          <cell r="A12" t="str">
            <v>VS (+/- 2,75)</v>
          </cell>
        </row>
        <row r="13">
          <cell r="A13" t="str">
            <v>VS (+/- 3,00)</v>
          </cell>
        </row>
        <row r="14">
          <cell r="A14" t="str">
            <v>VS (+/- 2,25)</v>
          </cell>
        </row>
        <row r="15">
          <cell r="A15" t="str">
            <v>VS (+/- 2,50)</v>
          </cell>
        </row>
        <row r="16">
          <cell r="A16" t="str">
            <v>VS (+/- 2,75)</v>
          </cell>
        </row>
        <row r="17">
          <cell r="A17" t="str">
            <v>VS (+/- 3,00)</v>
          </cell>
        </row>
        <row r="18">
          <cell r="A18" t="str">
            <v>VS (+/- 3,00)</v>
          </cell>
        </row>
        <row r="19">
          <cell r="A19" t="str">
            <v>VS (+/- 3,25)</v>
          </cell>
        </row>
        <row r="20">
          <cell r="A20" t="str">
            <v>VS (+/- 3,50)</v>
          </cell>
        </row>
        <row r="21">
          <cell r="A21" t="str">
            <v>VS (+/- 3,75)</v>
          </cell>
        </row>
        <row r="22">
          <cell r="A22" t="str">
            <v>VS (+/- 4,00)</v>
          </cell>
        </row>
        <row r="23">
          <cell r="A23" t="str">
            <v>VS (+/- 4,75)</v>
          </cell>
        </row>
        <row r="24">
          <cell r="A24" t="str">
            <v>VS (+/- 5,00)</v>
          </cell>
        </row>
        <row r="25">
          <cell r="A25" t="str">
            <v>VS (+/- 5,25)</v>
          </cell>
        </row>
        <row r="26">
          <cell r="A26" t="str">
            <v>VS (+/- 5,50)</v>
          </cell>
        </row>
        <row r="27">
          <cell r="A27" t="str">
            <v>VS (+/- 5,75)</v>
          </cell>
        </row>
        <row r="28">
          <cell r="A28" t="str">
            <v>VS (+/- 6,00)</v>
          </cell>
        </row>
        <row r="29">
          <cell r="A29" t="str">
            <v>VS (+/- 6,25)</v>
          </cell>
        </row>
        <row r="30">
          <cell r="A30" t="str">
            <v>VS (+/- 6,50)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5" Type="http://schemas.openxmlformats.org/officeDocument/2006/relationships/control" Target="../activeX/activeX5.xml"/><Relationship Id="rId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17"/>
  <sheetViews>
    <sheetView zoomScale="130" zoomScaleNormal="130" workbookViewId="0">
      <selection activeCell="C7" sqref="C7"/>
    </sheetView>
  </sheetViews>
  <sheetFormatPr baseColWidth="10" defaultRowHeight="15"/>
  <cols>
    <col min="1" max="1" width="6.140625" style="1" customWidth="1"/>
    <col min="2" max="2" width="19.85546875" customWidth="1"/>
    <col min="3" max="3" width="31.85546875" style="2" bestFit="1" customWidth="1"/>
    <col min="4" max="4" width="11.28515625" style="2" customWidth="1"/>
    <col min="5" max="5" width="27.42578125" style="2" customWidth="1"/>
    <col min="6" max="7" width="18.140625" style="2" customWidth="1"/>
    <col min="8" max="8" width="17.140625" style="2" customWidth="1"/>
    <col min="9" max="9" width="23.7109375" style="1" customWidth="1"/>
  </cols>
  <sheetData>
    <row r="1" spans="1:10" s="1" customFormat="1" ht="54" customHeight="1" thickBot="1">
      <c r="A1" s="3"/>
      <c r="B1" s="47" t="s">
        <v>44</v>
      </c>
      <c r="C1" s="48"/>
      <c r="D1" s="48"/>
      <c r="E1" s="48"/>
      <c r="F1" s="48"/>
      <c r="G1" s="48"/>
      <c r="H1" s="48"/>
      <c r="I1" s="49"/>
    </row>
    <row r="2" spans="1:10">
      <c r="A2" s="3"/>
      <c r="B2" s="62" t="s">
        <v>67</v>
      </c>
      <c r="C2" s="64" t="s">
        <v>0</v>
      </c>
      <c r="D2" s="50" t="s">
        <v>1</v>
      </c>
      <c r="E2" s="54" t="s">
        <v>2</v>
      </c>
      <c r="F2" s="52" t="s">
        <v>1</v>
      </c>
      <c r="G2" s="12" t="s">
        <v>7</v>
      </c>
      <c r="H2" s="52" t="s">
        <v>8</v>
      </c>
      <c r="I2" s="66" t="s">
        <v>62</v>
      </c>
      <c r="J2" s="1"/>
    </row>
    <row r="3" spans="1:10">
      <c r="A3" s="3"/>
      <c r="B3" s="63"/>
      <c r="C3" s="65"/>
      <c r="D3" s="51"/>
      <c r="E3" s="55"/>
      <c r="F3" s="53"/>
      <c r="G3" s="13" t="s">
        <v>3</v>
      </c>
      <c r="H3" s="53"/>
      <c r="I3" s="67"/>
      <c r="J3" s="1"/>
    </row>
    <row r="4" spans="1:10" ht="53.25" customHeight="1" thickBot="1">
      <c r="A4" s="3"/>
      <c r="B4" s="42" t="s">
        <v>36</v>
      </c>
      <c r="C4" s="43" t="s">
        <v>9</v>
      </c>
      <c r="D4" s="39">
        <f>IF(ISBLANK(C4),"",VLOOKUP(C4,Monofocales!$A$1:$F$26,MATCH(B4,Monofocales!$A$1:$K$1,0),FALSE))</f>
        <v>100000</v>
      </c>
      <c r="E4" s="44"/>
      <c r="F4" s="39" t="str">
        <f>IF(ISBLANK(E4),"",VLOOKUP(E4,Tratamientos!$A$1:$B$25,2,FALSE))</f>
        <v/>
      </c>
      <c r="G4" s="40">
        <f>IF(ISBLANK(D4),"",SUM(D4,F4))</f>
        <v>100000</v>
      </c>
      <c r="H4" s="14">
        <v>0</v>
      </c>
      <c r="I4" s="41">
        <f>((1-H4)/1)*G4</f>
        <v>100000</v>
      </c>
      <c r="J4" s="1"/>
    </row>
    <row r="5" spans="1:10" ht="15.75" thickBot="1"/>
    <row r="6" spans="1:10" ht="15.75" thickBot="1">
      <c r="B6" s="59" t="s">
        <v>45</v>
      </c>
      <c r="C6" s="60"/>
      <c r="H6" s="37" t="s">
        <v>65</v>
      </c>
      <c r="I6" s="38" t="s">
        <v>66</v>
      </c>
    </row>
    <row r="7" spans="1:10">
      <c r="B7" s="11" t="s">
        <v>40</v>
      </c>
      <c r="C7" s="7">
        <v>20000</v>
      </c>
      <c r="H7" s="34" t="s">
        <v>64</v>
      </c>
      <c r="I7" s="45"/>
    </row>
    <row r="8" spans="1:10" s="1" customFormat="1" ht="15.75" thickBot="1">
      <c r="B8" s="9" t="s">
        <v>41</v>
      </c>
      <c r="C8" s="7">
        <v>35000</v>
      </c>
      <c r="D8" s="2"/>
      <c r="E8" s="2"/>
      <c r="F8" s="2"/>
      <c r="H8" s="36" t="s">
        <v>63</v>
      </c>
      <c r="I8" s="46"/>
    </row>
    <row r="9" spans="1:10" s="1" customFormat="1" ht="19.5" thickBot="1">
      <c r="B9" s="9" t="s">
        <v>42</v>
      </c>
      <c r="C9" s="10">
        <v>10000</v>
      </c>
      <c r="D9" s="2"/>
      <c r="E9" s="2"/>
      <c r="F9" s="2"/>
      <c r="H9" s="35" t="s">
        <v>3</v>
      </c>
      <c r="I9" s="33">
        <f>I7+I8</f>
        <v>0</v>
      </c>
    </row>
    <row r="10" spans="1:10" ht="15.75" thickBot="1">
      <c r="B10" s="6" t="s">
        <v>43</v>
      </c>
      <c r="C10" s="8">
        <v>10000</v>
      </c>
    </row>
    <row r="11" spans="1:10" ht="15.75" customHeight="1">
      <c r="I11" s="32"/>
    </row>
    <row r="12" spans="1:10" ht="15.75">
      <c r="B12" s="56" t="s">
        <v>47</v>
      </c>
      <c r="C12" s="57"/>
      <c r="D12" s="57"/>
      <c r="E12" s="58"/>
    </row>
    <row r="14" spans="1:10" ht="19.5" customHeight="1">
      <c r="B14" s="56" t="s">
        <v>48</v>
      </c>
      <c r="C14" s="57"/>
      <c r="D14" s="57"/>
      <c r="E14" s="58"/>
    </row>
    <row r="16" spans="1:10" ht="21" customHeight="1">
      <c r="B16" s="61" t="s">
        <v>46</v>
      </c>
      <c r="C16" s="61"/>
      <c r="D16" s="61"/>
      <c r="E16" s="61"/>
      <c r="F16" s="61"/>
      <c r="G16" s="61"/>
      <c r="H16" s="61"/>
    </row>
    <row r="17" spans="2:8">
      <c r="B17" s="61"/>
      <c r="C17" s="61"/>
      <c r="D17" s="61"/>
      <c r="E17" s="61"/>
      <c r="F17" s="61"/>
      <c r="G17" s="61"/>
      <c r="H17" s="61"/>
    </row>
  </sheetData>
  <sheetProtection algorithmName="SHA-512" hashValue="B1NLaB9BWyTWKs2c9og9MHJg+FDRPpgu6XKe6FoEWZHy70Ji4hWxz7zoRtJv3dvaJbutZxU/1lPG0CB+f2l/IA==" saltValue="fY6/gwXi66tgBVGON51ifw==" spinCount="100000" sheet="1" objects="1" scenarios="1"/>
  <dataConsolidate/>
  <mergeCells count="12">
    <mergeCell ref="B16:H17"/>
    <mergeCell ref="B2:B3"/>
    <mergeCell ref="C2:C3"/>
    <mergeCell ref="I2:I3"/>
    <mergeCell ref="H2:H3"/>
    <mergeCell ref="B1:I1"/>
    <mergeCell ref="D2:D3"/>
    <mergeCell ref="F2:F3"/>
    <mergeCell ref="E2:E3"/>
    <mergeCell ref="B14:E14"/>
    <mergeCell ref="B12:E12"/>
    <mergeCell ref="B6:C6"/>
  </mergeCells>
  <conditionalFormatting sqref="I4">
    <cfRule type="containsText" dxfId="1" priority="6" operator="containsText" text="Exceso">
      <formula>NOT(ISERROR(SEARCH("Exceso",I4)))</formula>
    </cfRule>
  </conditionalFormatting>
  <conditionalFormatting sqref="I9">
    <cfRule type="containsText" dxfId="0" priority="1" operator="containsText" text="Exceso">
      <formula>NOT(ISERROR(SEARCH("Exceso",I9)))</formula>
    </cfRule>
  </conditionalFormatting>
  <dataValidations count="3">
    <dataValidation type="list" allowBlank="1" showInputMessage="1" showErrorMessage="1" promptTitle="TRATAMIENTO" sqref="E4">
      <formula1>TTO</formula1>
    </dataValidation>
    <dataValidation type="list" allowBlank="1" showInputMessage="1" showErrorMessage="1" sqref="B4">
      <formula1>CRIS</formula1>
    </dataValidation>
    <dataValidation type="list" allowBlank="1" showInputMessage="1" showErrorMessage="1" sqref="C4">
      <formula1>graduacion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3">
          <controlPr locked="0" defaultSize="0" autoLine="0" r:id="rId5">
            <anchor>
              <from>
                <xdr:col>9</xdr:col>
                <xdr:colOff>161925</xdr:colOff>
                <xdr:row>3</xdr:row>
                <xdr:rowOff>371475</xdr:rowOff>
              </from>
              <to>
                <xdr:col>9</xdr:col>
                <xdr:colOff>590550</xdr:colOff>
                <xdr:row>4</xdr:row>
                <xdr:rowOff>47625</xdr:rowOff>
              </to>
            </anchor>
          </controlPr>
        </control>
      </mc:Choice>
      <mc:Fallback>
        <control shapeId="1037" r:id="rId4" name="CommandButton3"/>
      </mc:Fallback>
    </mc:AlternateContent>
    <mc:AlternateContent xmlns:mc="http://schemas.openxmlformats.org/markup-compatibility/2006">
      <mc:Choice Requires="x14">
        <control shapeId="1035" r:id="rId6" name="CommandButton2">
          <controlPr locked="0" defaultSize="0" autoLine="0" r:id="rId7">
            <anchor>
              <from>
                <xdr:col>9</xdr:col>
                <xdr:colOff>161925</xdr:colOff>
                <xdr:row>2</xdr:row>
                <xdr:rowOff>161925</xdr:rowOff>
              </from>
              <to>
                <xdr:col>9</xdr:col>
                <xdr:colOff>590550</xdr:colOff>
                <xdr:row>3</xdr:row>
                <xdr:rowOff>323850</xdr:rowOff>
              </to>
            </anchor>
          </controlPr>
        </control>
      </mc:Choice>
      <mc:Fallback>
        <control shapeId="1035" r:id="rId6" name="CommandButton2"/>
      </mc:Fallback>
    </mc:AlternateContent>
    <mc:AlternateContent xmlns:mc="http://schemas.openxmlformats.org/markup-compatibility/2006">
      <mc:Choice Requires="x14">
        <control shapeId="1029" r:id="rId8" name="CommandButton1">
          <controlPr locked="0" defaultSize="0" autoLine="0" r:id="rId9">
            <anchor>
              <from>
                <xdr:col>8</xdr:col>
                <xdr:colOff>590550</xdr:colOff>
                <xdr:row>9</xdr:row>
                <xdr:rowOff>190500</xdr:rowOff>
              </from>
              <to>
                <xdr:col>9</xdr:col>
                <xdr:colOff>0</xdr:colOff>
                <xdr:row>12</xdr:row>
                <xdr:rowOff>123825</xdr:rowOff>
              </to>
            </anchor>
          </controlPr>
        </control>
      </mc:Choice>
      <mc:Fallback>
        <control shapeId="1029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10"/>
  <sheetViews>
    <sheetView zoomScale="130" zoomScaleNormal="130" workbookViewId="0">
      <selection activeCell="A14" sqref="A14"/>
    </sheetView>
  </sheetViews>
  <sheetFormatPr baseColWidth="10" defaultRowHeight="15"/>
  <cols>
    <col min="1" max="1" width="17.5703125" customWidth="1"/>
    <col min="2" max="2" width="14.42578125" customWidth="1"/>
    <col min="3" max="3" width="14" customWidth="1"/>
    <col min="4" max="4" width="13.85546875" customWidth="1"/>
  </cols>
  <sheetData>
    <row r="1" spans="1:5" s="1" customFormat="1" ht="18.75" customHeight="1" thickBot="1">
      <c r="A1" s="22" t="s">
        <v>54</v>
      </c>
      <c r="B1" s="26" t="s">
        <v>55</v>
      </c>
      <c r="C1" s="29" t="str">
        <f>'Consulta MONOFOCALES'!B4</f>
        <v>BLANCO</v>
      </c>
      <c r="D1" s="25"/>
    </row>
    <row r="2" spans="1:5" ht="19.5" thickBot="1">
      <c r="A2" s="22" t="s">
        <v>57</v>
      </c>
      <c r="B2" s="30" t="s">
        <v>51</v>
      </c>
      <c r="C2" s="30" t="s">
        <v>52</v>
      </c>
      <c r="D2" s="31" t="s">
        <v>53</v>
      </c>
      <c r="E2" s="15"/>
    </row>
    <row r="3" spans="1:5" s="1" customFormat="1" ht="18.75">
      <c r="A3" s="23" t="s">
        <v>59</v>
      </c>
      <c r="B3" s="16"/>
      <c r="C3" s="16"/>
      <c r="D3" s="17"/>
      <c r="E3" s="15"/>
    </row>
    <row r="4" spans="1:5" ht="19.5" thickBot="1">
      <c r="A4" s="23" t="s">
        <v>58</v>
      </c>
      <c r="B4" s="16"/>
      <c r="C4" s="16"/>
      <c r="D4" s="17"/>
      <c r="E4" s="15"/>
    </row>
    <row r="5" spans="1:5" ht="19.5" thickBot="1">
      <c r="A5" s="22" t="s">
        <v>61</v>
      </c>
      <c r="B5" s="30" t="s">
        <v>51</v>
      </c>
      <c r="C5" s="30" t="s">
        <v>52</v>
      </c>
      <c r="D5" s="31" t="s">
        <v>53</v>
      </c>
      <c r="E5" s="15"/>
    </row>
    <row r="6" spans="1:5" s="1" customFormat="1" ht="18.75">
      <c r="A6" s="23" t="s">
        <v>59</v>
      </c>
      <c r="B6" s="16"/>
      <c r="C6" s="16"/>
      <c r="D6" s="17"/>
      <c r="E6" s="15"/>
    </row>
    <row r="7" spans="1:5" ht="19.5" thickBot="1">
      <c r="A7" s="24" t="s">
        <v>60</v>
      </c>
      <c r="B7" s="19"/>
      <c r="C7" s="19"/>
      <c r="D7" s="21"/>
      <c r="E7" s="15"/>
    </row>
    <row r="8" spans="1:5" ht="18.75">
      <c r="A8" s="23" t="s">
        <v>49</v>
      </c>
      <c r="B8" s="16"/>
      <c r="C8" s="16"/>
      <c r="D8" s="18"/>
      <c r="E8" s="15"/>
    </row>
    <row r="9" spans="1:5" ht="19.5" thickBot="1">
      <c r="A9" s="24" t="s">
        <v>50</v>
      </c>
      <c r="B9" s="19"/>
      <c r="C9" s="19"/>
      <c r="D9" s="20"/>
      <c r="E9" s="15"/>
    </row>
    <row r="10" spans="1:5" ht="19.5" thickBot="1">
      <c r="A10" s="22" t="s">
        <v>56</v>
      </c>
      <c r="B10" s="27">
        <f>'Consulta MONOFOCALES'!E4</f>
        <v>0</v>
      </c>
      <c r="C10" s="28"/>
      <c r="D10" s="15"/>
      <c r="E10" s="15"/>
    </row>
  </sheetData>
  <dataConsolidate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" r:id="rId3" name="CommandButton2">
          <controlPr defaultSize="0" autoLine="0" r:id="rId4">
            <anchor>
              <from>
                <xdr:col>2</xdr:col>
                <xdr:colOff>847725</xdr:colOff>
                <xdr:row>12</xdr:row>
                <xdr:rowOff>28575</xdr:rowOff>
              </from>
              <to>
                <xdr:col>3</xdr:col>
                <xdr:colOff>904875</xdr:colOff>
                <xdr:row>14</xdr:row>
                <xdr:rowOff>180975</xdr:rowOff>
              </to>
            </anchor>
          </controlPr>
        </control>
      </mc:Choice>
      <mc:Fallback>
        <control shapeId="2058" r:id="rId3" name="CommandButton2"/>
      </mc:Fallback>
    </mc:AlternateContent>
    <mc:AlternateContent xmlns:mc="http://schemas.openxmlformats.org/markup-compatibility/2006">
      <mc:Choice Requires="x14">
        <control shapeId="2057" r:id="rId5" name="CommandButton1">
          <controlPr defaultSize="0" autoLine="0" r:id="rId6">
            <anchor>
              <from>
                <xdr:col>1</xdr:col>
                <xdr:colOff>762000</xdr:colOff>
                <xdr:row>12</xdr:row>
                <xdr:rowOff>28575</xdr:rowOff>
              </from>
              <to>
                <xdr:col>2</xdr:col>
                <xdr:colOff>781050</xdr:colOff>
                <xdr:row>14</xdr:row>
                <xdr:rowOff>171450</xdr:rowOff>
              </to>
            </anchor>
          </controlPr>
        </control>
      </mc:Choice>
      <mc:Fallback>
        <control shapeId="2057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26"/>
  <sheetViews>
    <sheetView tabSelected="1" zoomScale="145" zoomScaleNormal="145" workbookViewId="0">
      <selection activeCell="D18" sqref="D18"/>
    </sheetView>
  </sheetViews>
  <sheetFormatPr baseColWidth="10" defaultRowHeight="15"/>
  <cols>
    <col min="1" max="1" width="14.7109375" style="1" bestFit="1" customWidth="1"/>
    <col min="2" max="2" width="8.42578125" style="1" bestFit="1" customWidth="1"/>
    <col min="3" max="4" width="7.85546875" style="1" bestFit="1" customWidth="1"/>
    <col min="5" max="6" width="11.5703125" style="1" bestFit="1" customWidth="1"/>
    <col min="7" max="16384" width="11.42578125" style="1"/>
  </cols>
  <sheetData>
    <row r="1" spans="1:6">
      <c r="B1" s="5" t="s">
        <v>36</v>
      </c>
      <c r="C1" s="5" t="s">
        <v>34</v>
      </c>
      <c r="D1" s="5" t="s">
        <v>37</v>
      </c>
      <c r="E1" s="5" t="s">
        <v>38</v>
      </c>
      <c r="F1" s="5" t="s">
        <v>39</v>
      </c>
    </row>
    <row r="2" spans="1:6">
      <c r="A2" s="5" t="s">
        <v>9</v>
      </c>
      <c r="B2" s="4">
        <v>100000</v>
      </c>
      <c r="C2" s="4">
        <v>150000</v>
      </c>
      <c r="D2" s="4">
        <v>180000</v>
      </c>
      <c r="E2" s="4">
        <v>300000</v>
      </c>
      <c r="F2" s="4">
        <v>330000</v>
      </c>
    </row>
    <row r="3" spans="1:6">
      <c r="A3" s="5" t="s">
        <v>10</v>
      </c>
      <c r="B3" s="4">
        <v>120000</v>
      </c>
      <c r="C3" s="4">
        <v>180000</v>
      </c>
      <c r="D3" s="4">
        <v>190000</v>
      </c>
      <c r="E3" s="4">
        <v>360000</v>
      </c>
      <c r="F3" s="4">
        <v>360000</v>
      </c>
    </row>
    <row r="4" spans="1:6">
      <c r="A4" s="5" t="s">
        <v>11</v>
      </c>
      <c r="B4" s="4">
        <v>135000</v>
      </c>
      <c r="C4" s="4">
        <v>280000</v>
      </c>
      <c r="D4" s="4">
        <v>210000</v>
      </c>
      <c r="E4" s="4">
        <v>400000</v>
      </c>
      <c r="F4" s="4">
        <v>400000</v>
      </c>
    </row>
    <row r="5" spans="1:6">
      <c r="A5" s="5" t="s">
        <v>12</v>
      </c>
      <c r="B5" s="4">
        <v>180000</v>
      </c>
      <c r="C5" s="4">
        <v>300000</v>
      </c>
      <c r="D5" s="4">
        <v>260000</v>
      </c>
      <c r="E5" s="4">
        <v>680000</v>
      </c>
      <c r="F5" s="4">
        <v>430000</v>
      </c>
    </row>
    <row r="6" spans="1:6">
      <c r="A6" s="5" t="s">
        <v>13</v>
      </c>
      <c r="B6" s="4">
        <v>200000</v>
      </c>
      <c r="C6" s="4">
        <v>350000</v>
      </c>
      <c r="D6" s="4">
        <v>320000</v>
      </c>
      <c r="E6" s="4">
        <v>1000000</v>
      </c>
      <c r="F6" s="4"/>
    </row>
    <row r="7" spans="1:6">
      <c r="A7" s="5" t="s">
        <v>14</v>
      </c>
      <c r="B7" s="4">
        <v>220000</v>
      </c>
      <c r="C7" s="4"/>
      <c r="D7" s="4"/>
      <c r="E7" s="4"/>
      <c r="F7" s="4"/>
    </row>
    <row r="8" spans="1:6">
      <c r="A8" s="5" t="s">
        <v>15</v>
      </c>
      <c r="B8" s="4">
        <v>280000</v>
      </c>
      <c r="C8" s="4" t="s">
        <v>35</v>
      </c>
      <c r="D8" s="4"/>
      <c r="E8" s="4"/>
      <c r="F8" s="4"/>
    </row>
    <row r="9" spans="1:6">
      <c r="A9" s="5" t="s">
        <v>16</v>
      </c>
      <c r="B9" s="4">
        <v>260000</v>
      </c>
      <c r="C9" s="4"/>
      <c r="D9" s="4"/>
      <c r="E9" s="4"/>
      <c r="F9" s="4"/>
    </row>
    <row r="10" spans="1:6">
      <c r="A10" s="5" t="s">
        <v>17</v>
      </c>
      <c r="B10" s="4">
        <v>280000</v>
      </c>
      <c r="C10" s="4"/>
      <c r="D10" s="4"/>
      <c r="E10" s="4"/>
      <c r="F10" s="4"/>
    </row>
    <row r="11" spans="1:6">
      <c r="A11" s="5" t="s">
        <v>18</v>
      </c>
      <c r="B11" s="4">
        <v>350000</v>
      </c>
      <c r="C11" s="4"/>
      <c r="D11" s="4"/>
      <c r="E11" s="4"/>
      <c r="F11" s="4"/>
    </row>
    <row r="12" spans="1:6">
      <c r="A12" s="5" t="s">
        <v>19</v>
      </c>
      <c r="B12" s="4">
        <v>120000</v>
      </c>
      <c r="C12" s="4">
        <v>200000</v>
      </c>
      <c r="D12" s="4">
        <v>250000</v>
      </c>
      <c r="E12" s="4">
        <v>300000</v>
      </c>
      <c r="F12" s="4">
        <v>360000</v>
      </c>
    </row>
    <row r="13" spans="1:6">
      <c r="A13" s="5" t="s">
        <v>20</v>
      </c>
      <c r="B13" s="4">
        <v>145000</v>
      </c>
      <c r="C13" s="4">
        <v>220000</v>
      </c>
      <c r="D13" s="4">
        <v>300000</v>
      </c>
      <c r="E13" s="4">
        <v>320000</v>
      </c>
      <c r="F13" s="4">
        <v>400000</v>
      </c>
    </row>
    <row r="14" spans="1:6">
      <c r="A14" s="5" t="s">
        <v>21</v>
      </c>
      <c r="B14" s="4">
        <v>160000</v>
      </c>
      <c r="C14" s="4">
        <v>250000</v>
      </c>
      <c r="D14" s="4">
        <v>350000</v>
      </c>
      <c r="E14" s="4">
        <v>420000</v>
      </c>
      <c r="F14" s="4">
        <v>450000</v>
      </c>
    </row>
    <row r="15" spans="1:6">
      <c r="A15" s="5" t="s">
        <v>22</v>
      </c>
      <c r="B15" s="4">
        <v>200000</v>
      </c>
      <c r="C15" s="4">
        <v>300000</v>
      </c>
      <c r="D15" s="4">
        <v>360000</v>
      </c>
      <c r="E15" s="4">
        <v>450000</v>
      </c>
      <c r="F15" s="4">
        <v>520000</v>
      </c>
    </row>
    <row r="16" spans="1:6">
      <c r="A16" s="5" t="s">
        <v>23</v>
      </c>
      <c r="B16" s="4">
        <v>280000</v>
      </c>
      <c r="C16" s="4">
        <v>350000</v>
      </c>
      <c r="D16" s="4">
        <v>400000</v>
      </c>
      <c r="E16" s="4">
        <v>530000</v>
      </c>
      <c r="F16" s="4"/>
    </row>
    <row r="17" spans="1:6">
      <c r="A17" s="5" t="s">
        <v>24</v>
      </c>
      <c r="B17" s="4">
        <v>350000</v>
      </c>
      <c r="C17" s="4">
        <v>400000</v>
      </c>
      <c r="D17" s="4"/>
      <c r="E17" s="4"/>
      <c r="F17" s="4"/>
    </row>
    <row r="18" spans="1:6">
      <c r="A18" s="5" t="s">
        <v>25</v>
      </c>
      <c r="B18" s="4">
        <v>450000</v>
      </c>
      <c r="C18" s="4"/>
      <c r="D18" s="4"/>
      <c r="E18" s="4"/>
      <c r="F18" s="4"/>
    </row>
    <row r="19" spans="1:6">
      <c r="A19" s="5" t="s">
        <v>26</v>
      </c>
      <c r="B19" s="4">
        <v>500000</v>
      </c>
      <c r="C19" s="4"/>
      <c r="D19" s="4"/>
      <c r="E19" s="4"/>
      <c r="F19" s="4"/>
    </row>
    <row r="20" spans="1:6">
      <c r="A20" s="5" t="s">
        <v>27</v>
      </c>
      <c r="B20" s="4">
        <v>550000</v>
      </c>
      <c r="C20" s="4"/>
      <c r="D20" s="4"/>
      <c r="E20" s="4"/>
      <c r="F20" s="4"/>
    </row>
    <row r="21" spans="1:6">
      <c r="A21" s="5" t="s">
        <v>28</v>
      </c>
      <c r="B21" s="4">
        <v>600000</v>
      </c>
      <c r="C21" s="4"/>
      <c r="D21" s="4"/>
      <c r="E21" s="4"/>
      <c r="F21" s="4"/>
    </row>
    <row r="22" spans="1:6">
      <c r="A22" s="5" t="s">
        <v>29</v>
      </c>
      <c r="B22" s="4">
        <v>200000</v>
      </c>
      <c r="C22" s="4">
        <v>250000</v>
      </c>
      <c r="D22" s="4">
        <v>250000</v>
      </c>
      <c r="E22" s="4"/>
      <c r="F22" s="4"/>
    </row>
    <row r="23" spans="1:6">
      <c r="A23" s="5" t="s">
        <v>30</v>
      </c>
      <c r="B23" s="4">
        <v>280000</v>
      </c>
      <c r="C23" s="4">
        <v>280000</v>
      </c>
      <c r="D23" s="4">
        <v>300000</v>
      </c>
      <c r="E23" s="4"/>
      <c r="F23" s="4"/>
    </row>
    <row r="24" spans="1:6">
      <c r="A24" s="5" t="s">
        <v>31</v>
      </c>
      <c r="B24" s="4">
        <v>350000</v>
      </c>
      <c r="C24" s="4"/>
      <c r="D24" s="4"/>
      <c r="E24" s="4"/>
      <c r="F24" s="4"/>
    </row>
    <row r="25" spans="1:6">
      <c r="A25" s="5" t="s">
        <v>32</v>
      </c>
      <c r="B25" s="4">
        <v>450000</v>
      </c>
      <c r="C25" s="4"/>
      <c r="D25" s="4"/>
      <c r="E25" s="4"/>
      <c r="F25" s="4"/>
    </row>
    <row r="26" spans="1:6">
      <c r="A26" s="5" t="s">
        <v>33</v>
      </c>
      <c r="B26" s="4">
        <v>480000</v>
      </c>
      <c r="C26" s="4"/>
      <c r="D26" s="4"/>
      <c r="E26" s="4"/>
      <c r="F26" s="4"/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5"/>
  <sheetViews>
    <sheetView workbookViewId="0">
      <selection activeCell="B11" sqref="B11"/>
    </sheetView>
  </sheetViews>
  <sheetFormatPr baseColWidth="10" defaultRowHeight="15"/>
  <cols>
    <col min="1" max="1" width="24.85546875" customWidth="1"/>
    <col min="2" max="2" width="15.42578125" customWidth="1"/>
  </cols>
  <sheetData>
    <row r="1" spans="1:2" ht="15" customHeight="1">
      <c r="A1" s="1" t="s">
        <v>6</v>
      </c>
      <c r="B1">
        <v>0</v>
      </c>
    </row>
    <row r="2" spans="1:2" ht="15.75" customHeight="1">
      <c r="A2" s="1" t="s">
        <v>4</v>
      </c>
      <c r="B2" s="1">
        <v>10000</v>
      </c>
    </row>
    <row r="3" spans="1:2">
      <c r="A3" s="1" t="s">
        <v>5</v>
      </c>
      <c r="B3" s="1">
        <v>30000</v>
      </c>
    </row>
    <row r="4" spans="1:2">
      <c r="A4" s="1"/>
    </row>
    <row r="5" spans="1:2">
      <c r="A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Consulta MONOFOCALES</vt:lpstr>
      <vt:lpstr>RESUMEN</vt:lpstr>
      <vt:lpstr>Monofocales</vt:lpstr>
      <vt:lpstr>Tratamientos</vt:lpstr>
      <vt:lpstr>CRIS</vt:lpstr>
      <vt:lpstr>graduacion</vt:lpstr>
      <vt:lpstr>Tratamientos!t</vt:lpstr>
      <vt:lpstr>Tratamientos!TRATAMIENT</vt:lpstr>
      <vt:lpstr>Tratamientos!TRATAMIENTO</vt:lpstr>
      <vt:lpstr>TTO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Excelword</dc:creator>
  <cp:lastModifiedBy>William Cikel</cp:lastModifiedBy>
  <dcterms:created xsi:type="dcterms:W3CDTF">2013-01-06T20:08:28Z</dcterms:created>
  <dcterms:modified xsi:type="dcterms:W3CDTF">2017-01-09T22:04:18Z</dcterms:modified>
</cp:coreProperties>
</file>